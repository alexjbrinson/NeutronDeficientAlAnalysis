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DE-Study\work\22Al\24Al_Isomer\"/>
    </mc:Choice>
  </mc:AlternateContent>
  <xr:revisionPtr revIDLastSave="0" documentId="13_ncr:1_{8BE4AF93-7954-4CBD-8EAF-091AA5AFF058}" xr6:coauthVersionLast="36" xr6:coauthVersionMax="47" xr10:uidLastSave="{00000000-0000-0000-0000-000000000000}"/>
  <bookViews>
    <workbookView xWindow="0" yWindow="0" windowWidth="28800" windowHeight="13643" xr2:uid="{F28071B6-7CE9-A64F-B1E6-1B626CED834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2" l="1"/>
  <c r="D4" i="2"/>
  <c r="C3" i="2"/>
  <c r="C5" i="2" s="1"/>
  <c r="B5" i="2"/>
  <c r="B4" i="2"/>
  <c r="C4" i="2"/>
  <c r="D6" i="2"/>
  <c r="D7" i="2" s="1"/>
  <c r="C6" i="2"/>
  <c r="B6" i="2"/>
  <c r="B7" i="2" s="1"/>
</calcChain>
</file>

<file path=xl/sharedStrings.xml><?xml version="1.0" encoding="utf-8"?>
<sst xmlns="http://schemas.openxmlformats.org/spreadsheetml/2006/main" count="10" uniqueCount="10">
  <si>
    <t>24Al</t>
    <phoneticPr fontId="0" type="noConversion"/>
  </si>
  <si>
    <t>27Al</t>
    <phoneticPr fontId="0" type="noConversion"/>
  </si>
  <si>
    <t>Isotope</t>
  </si>
  <si>
    <t>R2</t>
  </si>
  <si>
    <t>R2 err</t>
  </si>
  <si>
    <t>R</t>
  </si>
  <si>
    <t>R err</t>
  </si>
  <si>
    <t>R2 - R2_27Al</t>
  </si>
  <si>
    <t>R2 - R2_27Al err</t>
  </si>
  <si>
    <t>24mAl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</si>
</sst>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2"/>
      <color theme="1"/>
      <name val="等线"/>
      <family val="2"/>
      <scheme val="minor"/>
    </font>
    <font>
      <sz val="14"/>
      <color theme="1"/>
      <name val="Aptos"/>
    </font>
    <font>
      <sz val="14"/>
      <color rgb="FF000000"/>
      <name val="Aptos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176" fontId="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9387-C242-4477-A1FF-D84A0BB30C6D}">
  <dimension ref="A1:J21"/>
  <sheetViews>
    <sheetView tabSelected="1" workbookViewId="0">
      <selection activeCell="A31" sqref="A31"/>
    </sheetView>
  </sheetViews>
  <sheetFormatPr defaultColWidth="10.8203125" defaultRowHeight="15"/>
  <cols>
    <col min="1" max="1" width="18.46875" customWidth="1"/>
    <col min="2" max="2" width="14.8203125" customWidth="1"/>
    <col min="3" max="3" width="13.64453125" customWidth="1"/>
    <col min="4" max="5" width="13.8203125" customWidth="1"/>
    <col min="6" max="6" width="13.64453125" customWidth="1"/>
    <col min="7" max="7" width="14" customWidth="1"/>
    <col min="8" max="8" width="14.8203125" customWidth="1"/>
    <col min="9" max="9" width="14" customWidth="1"/>
    <col min="10" max="10" width="14.64453125" customWidth="1"/>
  </cols>
  <sheetData>
    <row r="1" spans="1:10" ht="17.25">
      <c r="A1" s="1" t="s">
        <v>2</v>
      </c>
      <c r="B1" s="1" t="s">
        <v>0</v>
      </c>
      <c r="C1" s="1" t="s">
        <v>9</v>
      </c>
      <c r="D1" s="1" t="s">
        <v>1</v>
      </c>
      <c r="E1" s="1"/>
      <c r="F1" s="1"/>
      <c r="G1" s="1"/>
      <c r="H1" s="1"/>
      <c r="I1" s="1"/>
      <c r="J1" s="1"/>
    </row>
    <row r="2" spans="1:10" ht="17.25">
      <c r="A2" s="2" t="s">
        <v>3</v>
      </c>
      <c r="B2" s="3">
        <v>9.5229999999999997</v>
      </c>
      <c r="C2" s="3">
        <v>9.5109999999999992</v>
      </c>
      <c r="D2" s="3">
        <v>9.3879999999999999</v>
      </c>
      <c r="E2" s="3"/>
      <c r="F2" s="3"/>
      <c r="G2" s="3"/>
      <c r="H2" s="3"/>
      <c r="I2" s="3"/>
      <c r="J2" s="3"/>
    </row>
    <row r="3" spans="1:10" ht="17.25">
      <c r="A3" s="2" t="s">
        <v>4</v>
      </c>
      <c r="B3" s="3">
        <v>3.2000000000000001E-2</v>
      </c>
      <c r="C3" s="3">
        <f xml:space="preserve"> 2*C6*C7</f>
        <v>0.17887147341037923</v>
      </c>
      <c r="D3" s="3">
        <v>3.4000000000000002E-2</v>
      </c>
      <c r="E3" s="3"/>
      <c r="F3" s="3"/>
      <c r="G3" s="3"/>
      <c r="H3" s="3"/>
      <c r="I3" s="3"/>
      <c r="J3" s="3"/>
    </row>
    <row r="4" spans="1:10" ht="17.25">
      <c r="A4" s="2" t="s">
        <v>7</v>
      </c>
      <c r="B4" s="4">
        <f>B2-$D2</f>
        <v>0.13499999999999979</v>
      </c>
      <c r="C4" s="4">
        <f>C2-$D2</f>
        <v>0.12299999999999933</v>
      </c>
      <c r="D4" s="4">
        <f>D2-$D2</f>
        <v>0</v>
      </c>
      <c r="E4" s="4"/>
      <c r="F4" s="4"/>
      <c r="G4" s="4"/>
      <c r="H4" s="4"/>
      <c r="I4" s="4"/>
      <c r="J4" s="4"/>
    </row>
    <row r="5" spans="1:10" ht="17.25">
      <c r="A5" s="2" t="s">
        <v>8</v>
      </c>
      <c r="B5" s="4">
        <f>SQRT(B3^2+$D3^2)</f>
        <v>4.6690470119715007E-2</v>
      </c>
      <c r="C5" s="4">
        <f>SQRT(C3^2+$D3^2)</f>
        <v>0.18207417169933798</v>
      </c>
      <c r="D5" s="4">
        <f>SQRT(D3^2)</f>
        <v>3.4000000000000002E-2</v>
      </c>
      <c r="E5" s="4"/>
      <c r="F5" s="4"/>
      <c r="G5" s="4"/>
      <c r="H5" s="4"/>
      <c r="I5" s="4"/>
      <c r="J5" s="4"/>
    </row>
    <row r="6" spans="1:10" ht="17.25">
      <c r="A6" s="2" t="s">
        <v>5</v>
      </c>
      <c r="B6" s="4">
        <f t="shared" ref="B6" si="0" xml:space="preserve"> SQRT(B2)</f>
        <v>3.0859358386071478</v>
      </c>
      <c r="C6" s="4">
        <f t="shared" ref="C6:D6" si="1" xml:space="preserve"> SQRT(C2)</f>
        <v>3.0839909208686072</v>
      </c>
      <c r="D6" s="4">
        <f t="shared" si="1"/>
        <v>3.0639843341636066</v>
      </c>
      <c r="E6" s="4"/>
      <c r="F6" s="4"/>
      <c r="G6" s="4"/>
      <c r="H6" s="4"/>
      <c r="I6" s="4"/>
      <c r="J6" s="4"/>
    </row>
    <row r="7" spans="1:10" ht="17.25">
      <c r="A7" s="2" t="s">
        <v>6</v>
      </c>
      <c r="B7" s="4">
        <f t="shared" ref="B7" si="2" xml:space="preserve"> 1/2*B3/B2*B6</f>
        <v>5.1848129179580356E-3</v>
      </c>
      <c r="C7" s="4">
        <v>2.9000000000000001E-2</v>
      </c>
      <c r="D7" s="4">
        <f t="shared" ref="C7:D7" si="3" xml:space="preserve"> 1/2*D3/D2*D6</f>
        <v>5.5483312399639238E-3</v>
      </c>
      <c r="E7" s="4"/>
      <c r="F7" s="4"/>
      <c r="G7" s="4"/>
      <c r="H7" s="4"/>
      <c r="I7" s="4"/>
      <c r="J7" s="4"/>
    </row>
    <row r="9" spans="1:10" ht="17.25">
      <c r="B9" s="1"/>
      <c r="C9" s="1"/>
      <c r="D9" s="1"/>
      <c r="E9" s="1"/>
      <c r="F9" s="1"/>
      <c r="G9" s="1"/>
      <c r="H9" s="1"/>
      <c r="I9" s="1"/>
      <c r="J9" s="1"/>
    </row>
    <row r="10" spans="1:10" ht="17.25">
      <c r="B10" s="1"/>
      <c r="C10" s="1"/>
      <c r="D10" s="1"/>
      <c r="E10" s="1"/>
      <c r="F10" s="1"/>
      <c r="G10" s="1"/>
      <c r="H10" s="1"/>
      <c r="I10" s="1"/>
      <c r="J10" s="1"/>
    </row>
    <row r="13" spans="1:10" ht="17.25">
      <c r="A13" s="1"/>
    </row>
    <row r="15" spans="1:10" ht="17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7.25">
      <c r="A16" s="2"/>
      <c r="B16" s="3"/>
      <c r="C16" s="3"/>
      <c r="D16" s="3"/>
      <c r="E16" s="3"/>
      <c r="F16" s="3"/>
      <c r="G16" s="3"/>
      <c r="H16" s="3"/>
      <c r="I16" s="3"/>
      <c r="J16" s="3"/>
    </row>
    <row r="17" spans="1:10" ht="17.25">
      <c r="A17" s="2"/>
      <c r="B17" s="3"/>
      <c r="C17" s="3"/>
      <c r="D17" s="3"/>
      <c r="E17" s="3"/>
      <c r="F17" s="3"/>
      <c r="G17" s="3"/>
      <c r="H17" s="3"/>
      <c r="I17" s="3"/>
      <c r="J17" s="3"/>
    </row>
    <row r="18" spans="1:10" ht="17.25">
      <c r="A18" s="2"/>
      <c r="B18" s="4"/>
      <c r="C18" s="4"/>
      <c r="D18" s="4"/>
      <c r="E18" s="4"/>
      <c r="F18" s="4"/>
      <c r="G18" s="4"/>
      <c r="H18" s="4"/>
      <c r="I18" s="4"/>
      <c r="J18" s="4"/>
    </row>
    <row r="19" spans="1:10" ht="17.25">
      <c r="A19" s="2"/>
      <c r="B19" s="4"/>
      <c r="C19" s="4"/>
      <c r="D19" s="4"/>
      <c r="E19" s="4"/>
      <c r="F19" s="4"/>
      <c r="G19" s="4"/>
      <c r="H19" s="4"/>
      <c r="I19" s="4"/>
      <c r="J19" s="4"/>
    </row>
    <row r="20" spans="1:10" ht="17.25">
      <c r="A20" s="2"/>
      <c r="B20" s="4"/>
      <c r="C20" s="4"/>
      <c r="D20" s="4"/>
      <c r="E20" s="4"/>
      <c r="F20" s="4"/>
      <c r="G20" s="4"/>
      <c r="H20" s="4"/>
      <c r="I20" s="4"/>
      <c r="J20" s="4"/>
    </row>
    <row r="21" spans="1:10" ht="17.25">
      <c r="A21" s="2"/>
      <c r="B21" s="4"/>
      <c r="C21" s="4"/>
      <c r="D21" s="4"/>
      <c r="E21" s="4"/>
      <c r="F21" s="4"/>
      <c r="G21" s="4"/>
      <c r="H21" s="4"/>
      <c r="I21" s="4"/>
      <c r="J21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Dean</dc:creator>
  <cp:lastModifiedBy>szhang</cp:lastModifiedBy>
  <dcterms:created xsi:type="dcterms:W3CDTF">2024-10-23T13:53:28Z</dcterms:created>
  <dcterms:modified xsi:type="dcterms:W3CDTF">2025-02-04T15:19:39Z</dcterms:modified>
</cp:coreProperties>
</file>