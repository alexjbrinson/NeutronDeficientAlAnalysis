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D:\DE-Study\work\22Al\20241109\"/>
    </mc:Choice>
  </mc:AlternateContent>
  <xr:revisionPtr revIDLastSave="0" documentId="13_ncr:1_{25A6D5A2-6A11-4B73-A405-5436B14E3CFC}" xr6:coauthVersionLast="36" xr6:coauthVersionMax="47" xr10:uidLastSave="{00000000-0000-0000-0000-000000000000}"/>
  <bookViews>
    <workbookView xWindow="0" yWindow="0" windowWidth="28800" windowHeight="13643" xr2:uid="{F28071B6-7CE9-A64F-B1E6-1B626CED8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F21" i="1"/>
  <c r="D21" i="1"/>
  <c r="L20" i="1"/>
  <c r="K20" i="1"/>
  <c r="K21" i="1" s="1"/>
  <c r="J20" i="1"/>
  <c r="J21" i="1" s="1"/>
  <c r="I20" i="1"/>
  <c r="I21" i="1" s="1"/>
  <c r="H20" i="1"/>
  <c r="H21" i="1" s="1"/>
  <c r="G20" i="1"/>
  <c r="G21" i="1" s="1"/>
  <c r="F20" i="1"/>
  <c r="E20" i="1"/>
  <c r="E21" i="1" s="1"/>
  <c r="D20" i="1"/>
  <c r="C20" i="1"/>
  <c r="C21" i="1" s="1"/>
  <c r="B20" i="1"/>
  <c r="B21" i="1" s="1"/>
  <c r="L19" i="1"/>
  <c r="K19" i="1"/>
  <c r="J19" i="1"/>
  <c r="I19" i="1"/>
  <c r="H19" i="1"/>
  <c r="G19" i="1"/>
  <c r="F19" i="1"/>
  <c r="E19" i="1"/>
  <c r="D19" i="1"/>
  <c r="C19" i="1"/>
  <c r="B19" i="1"/>
  <c r="L18" i="1"/>
  <c r="K18" i="1"/>
  <c r="J18" i="1"/>
  <c r="I18" i="1"/>
  <c r="H18" i="1"/>
  <c r="G18" i="1"/>
  <c r="F18" i="1"/>
  <c r="E18" i="1"/>
  <c r="D18" i="1"/>
  <c r="C18" i="1"/>
  <c r="B18" i="1"/>
  <c r="G7" i="1" l="1"/>
  <c r="E7" i="1"/>
  <c r="D7" i="1"/>
  <c r="C7" i="1"/>
  <c r="B7" i="1"/>
  <c r="L6" i="1"/>
  <c r="L7" i="1" s="1"/>
  <c r="K6" i="1"/>
  <c r="K7" i="1" s="1"/>
  <c r="J6" i="1"/>
  <c r="J7" i="1" s="1"/>
  <c r="I6" i="1"/>
  <c r="I7" i="1" s="1"/>
  <c r="H6" i="1"/>
  <c r="H7" i="1" s="1"/>
  <c r="G6" i="1"/>
  <c r="F6" i="1"/>
  <c r="F7" i="1" s="1"/>
  <c r="E6" i="1"/>
  <c r="D6" i="1"/>
  <c r="C6" i="1"/>
  <c r="B6" i="1"/>
  <c r="L5" i="1"/>
  <c r="K5" i="1"/>
  <c r="J5" i="1"/>
  <c r="I5" i="1"/>
  <c r="H5" i="1"/>
  <c r="G5" i="1"/>
  <c r="F5" i="1"/>
  <c r="E5" i="1"/>
  <c r="D5" i="1"/>
  <c r="C5" i="1"/>
  <c r="B5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<sst xmlns="http://schemas.openxmlformats.org/spreadsheetml/2006/main" count="59" uniqueCount="26">
  <si>
    <t>22Al</t>
    <phoneticPr fontId="0" type="noConversion"/>
  </si>
  <si>
    <t>23Al</t>
    <phoneticPr fontId="0" type="noConversion"/>
  </si>
  <si>
    <t>24Al</t>
    <phoneticPr fontId="0" type="noConversion"/>
  </si>
  <si>
    <t>25Al</t>
    <phoneticPr fontId="0" type="noConversion"/>
  </si>
  <si>
    <t>26Al</t>
    <phoneticPr fontId="0" type="noConversion"/>
  </si>
  <si>
    <t>27Al</t>
    <phoneticPr fontId="0" type="noConversion"/>
  </si>
  <si>
    <t>28Al</t>
    <phoneticPr fontId="0" type="noConversion"/>
  </si>
  <si>
    <t>29Al</t>
    <phoneticPr fontId="0" type="noConversion"/>
  </si>
  <si>
    <t>30Al</t>
    <phoneticPr fontId="0" type="noConversion"/>
  </si>
  <si>
    <t>31Al</t>
    <phoneticPr fontId="0" type="noConversion"/>
  </si>
  <si>
    <t>32Al</t>
    <phoneticPr fontId="0" type="noConversion"/>
  </si>
  <si>
    <t>(4)+</t>
    <phoneticPr fontId="0" type="noConversion"/>
  </si>
  <si>
    <t>5/2+</t>
    <phoneticPr fontId="0" type="noConversion"/>
  </si>
  <si>
    <t>4+</t>
    <phoneticPr fontId="0" type="noConversion"/>
  </si>
  <si>
    <t>5+</t>
    <phoneticPr fontId="0" type="noConversion"/>
  </si>
  <si>
    <t>3+</t>
    <phoneticPr fontId="0" type="noConversion"/>
  </si>
  <si>
    <t>1+</t>
    <phoneticPr fontId="0" type="noConversion"/>
  </si>
  <si>
    <t>Isotope</t>
  </si>
  <si>
    <t>R2</t>
  </si>
  <si>
    <t>R2 err</t>
  </si>
  <si>
    <t>R</t>
  </si>
  <si>
    <t>R err</t>
  </si>
  <si>
    <t>R2 - R2_27Al</t>
  </si>
  <si>
    <t>R2 - R2_27Al err</t>
  </si>
  <si>
    <t>Update</t>
    <phoneticPr fontId="3" type="noConversion"/>
  </si>
  <si>
    <t>Isotope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</si>
</sst>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2"/>
      <color theme="1"/>
      <name val="等线"/>
      <family val="2"/>
      <scheme val="minor"/>
    </font>
    <font>
      <sz val="14"/>
      <color theme="1"/>
      <name val="Aptos"/>
    </font>
    <font>
      <sz val="14"/>
      <color rgb="FF000000"/>
      <name val="Aptos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76" fontId="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45F7-8567-EE42-A6F6-6B6E59BE5651}">
  <dimension ref="A1:L21"/>
  <sheetViews>
    <sheetView tabSelected="1" workbookViewId="0">
      <selection activeCell="H6" sqref="H6"/>
    </sheetView>
  </sheetViews>
  <sheetFormatPr defaultColWidth="10.8203125" defaultRowHeight="15"/>
  <cols>
    <col min="1" max="1" width="18.46875" customWidth="1"/>
    <col min="2" max="2" width="13.8203125" customWidth="1"/>
    <col min="3" max="3" width="13.46875" customWidth="1"/>
    <col min="4" max="4" width="14.8203125" customWidth="1"/>
    <col min="5" max="5" width="13.64453125" customWidth="1"/>
    <col min="6" max="7" width="13.8203125" customWidth="1"/>
    <col min="8" max="8" width="13.64453125" customWidth="1"/>
    <col min="9" max="9" width="14" customWidth="1"/>
    <col min="10" max="10" width="14.8203125" customWidth="1"/>
    <col min="11" max="11" width="14" customWidth="1"/>
    <col min="12" max="12" width="14.64453125" customWidth="1"/>
  </cols>
  <sheetData>
    <row r="1" spans="1:12" ht="17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7.25">
      <c r="A2" s="2" t="s">
        <v>18</v>
      </c>
      <c r="B2" s="3">
        <v>9.4909999999999997</v>
      </c>
      <c r="C2" s="3">
        <v>9.5980000000000008</v>
      </c>
      <c r="D2" s="3">
        <v>9.5229999999999997</v>
      </c>
      <c r="E2" s="3">
        <v>9.4809999999999999</v>
      </c>
      <c r="F2" s="3">
        <v>9.3089999999999993</v>
      </c>
      <c r="G2" s="3">
        <v>9.3879999999999999</v>
      </c>
      <c r="H2" s="3">
        <v>9.5069999999999997</v>
      </c>
      <c r="I2" s="3">
        <v>9.5229999999999997</v>
      </c>
      <c r="J2" s="3">
        <v>9.6549999999999994</v>
      </c>
      <c r="K2" s="3">
        <v>9.6869999999999994</v>
      </c>
      <c r="L2" s="3">
        <v>9.7070000000000007</v>
      </c>
    </row>
    <row r="3" spans="1:12" ht="17.25">
      <c r="A3" s="2" t="s">
        <v>19</v>
      </c>
      <c r="B3" s="3">
        <v>6.3E-2</v>
      </c>
      <c r="C3" s="3">
        <v>0.13100000000000001</v>
      </c>
      <c r="D3" s="3">
        <v>3.2000000000000001E-2</v>
      </c>
      <c r="E3" s="3">
        <v>0.16700000000000001</v>
      </c>
      <c r="F3" s="3">
        <v>0.05</v>
      </c>
      <c r="G3" s="3">
        <v>3.4000000000000002E-2</v>
      </c>
      <c r="H3" s="3">
        <v>0.106</v>
      </c>
      <c r="I3" s="3">
        <v>0.14199999999999999</v>
      </c>
      <c r="J3" s="3">
        <v>0.13600000000000001</v>
      </c>
      <c r="K3" s="3">
        <v>7.0999999999999994E-2</v>
      </c>
      <c r="L3" s="3">
        <v>0.108</v>
      </c>
    </row>
    <row r="4" spans="1:12" ht="17.25">
      <c r="A4" s="2" t="s">
        <v>22</v>
      </c>
      <c r="B4" s="4">
        <f t="shared" ref="B4:L4" si="0">B2-$G2</f>
        <v>0.10299999999999976</v>
      </c>
      <c r="C4" s="4">
        <f t="shared" si="0"/>
        <v>0.21000000000000085</v>
      </c>
      <c r="D4" s="4">
        <f t="shared" si="0"/>
        <v>0.13499999999999979</v>
      </c>
      <c r="E4" s="4">
        <f t="shared" si="0"/>
        <v>9.2999999999999972E-2</v>
      </c>
      <c r="F4" s="4">
        <f t="shared" si="0"/>
        <v>-7.9000000000000625E-2</v>
      </c>
      <c r="G4" s="4">
        <f t="shared" si="0"/>
        <v>0</v>
      </c>
      <c r="H4" s="4">
        <f t="shared" si="0"/>
        <v>0.11899999999999977</v>
      </c>
      <c r="I4" s="4">
        <f t="shared" si="0"/>
        <v>0.13499999999999979</v>
      </c>
      <c r="J4" s="4">
        <f t="shared" si="0"/>
        <v>0.26699999999999946</v>
      </c>
      <c r="K4" s="4">
        <f t="shared" si="0"/>
        <v>0.29899999999999949</v>
      </c>
      <c r="L4" s="4">
        <f t="shared" si="0"/>
        <v>0.31900000000000084</v>
      </c>
    </row>
    <row r="5" spans="1:12" ht="17.25">
      <c r="A5" s="2" t="s">
        <v>23</v>
      </c>
      <c r="B5" s="4">
        <f t="shared" ref="B5:L5" si="1">SQRT(B3^2+$G3^2)</f>
        <v>7.1589105316381768E-2</v>
      </c>
      <c r="C5" s="4">
        <f t="shared" si="1"/>
        <v>0.13534031180694095</v>
      </c>
      <c r="D5" s="4">
        <f t="shared" si="1"/>
        <v>4.6690470119715007E-2</v>
      </c>
      <c r="E5" s="4">
        <f t="shared" si="1"/>
        <v>0.17042593699317016</v>
      </c>
      <c r="F5" s="4">
        <f t="shared" si="1"/>
        <v>6.0464865831323898E-2</v>
      </c>
      <c r="G5" s="4">
        <f t="shared" si="1"/>
        <v>4.8083261120685235E-2</v>
      </c>
      <c r="H5" s="4">
        <f t="shared" si="1"/>
        <v>0.11131936040060597</v>
      </c>
      <c r="I5" s="4">
        <f t="shared" si="1"/>
        <v>0.14601369798755184</v>
      </c>
      <c r="J5" s="4">
        <f t="shared" si="1"/>
        <v>0.14018559127100047</v>
      </c>
      <c r="K5" s="4">
        <f t="shared" si="1"/>
        <v>7.8721026416072593E-2</v>
      </c>
      <c r="L5" s="4">
        <f t="shared" si="1"/>
        <v>0.11322543883774529</v>
      </c>
    </row>
    <row r="6" spans="1:12" ht="17.25">
      <c r="A6" s="2" t="s">
        <v>20</v>
      </c>
      <c r="B6" s="4">
        <f xml:space="preserve"> SQRT(B2)</f>
        <v>3.0807466627426541</v>
      </c>
      <c r="C6" s="4">
        <f t="shared" ref="C6:L6" si="2" xml:space="preserve"> SQRT(C2)</f>
        <v>3.0980639115421749</v>
      </c>
      <c r="D6" s="4">
        <f t="shared" si="2"/>
        <v>3.0859358386071478</v>
      </c>
      <c r="E6" s="4">
        <f t="shared" si="2"/>
        <v>3.0791232518364704</v>
      </c>
      <c r="F6" s="4">
        <f t="shared" si="2"/>
        <v>3.0510653876965663</v>
      </c>
      <c r="G6" s="4">
        <f t="shared" si="2"/>
        <v>3.0639843341636066</v>
      </c>
      <c r="H6" s="4">
        <f t="shared" si="2"/>
        <v>3.083342342329181</v>
      </c>
      <c r="I6" s="4">
        <f t="shared" si="2"/>
        <v>3.0859358386071478</v>
      </c>
      <c r="J6" s="4">
        <f t="shared" si="2"/>
        <v>3.1072495876578694</v>
      </c>
      <c r="K6" s="4">
        <f t="shared" si="2"/>
        <v>3.112394576527854</v>
      </c>
      <c r="L6" s="4">
        <f t="shared" si="2"/>
        <v>3.1156058800817541</v>
      </c>
    </row>
    <row r="7" spans="1:12" ht="17.25">
      <c r="A7" s="2" t="s">
        <v>21</v>
      </c>
      <c r="B7" s="4">
        <f t="shared" ref="B7:L7" si="3" xml:space="preserve"> 1/2*B3/B2*B6</f>
        <v>1.0224794002359457E-2</v>
      </c>
      <c r="C7" s="4">
        <f t="shared" si="3"/>
        <v>2.1142236529069852E-2</v>
      </c>
      <c r="D7" s="4">
        <f t="shared" si="3"/>
        <v>5.1848129179580356E-3</v>
      </c>
      <c r="E7" s="4">
        <f t="shared" si="3"/>
        <v>2.7118109010478356E-2</v>
      </c>
      <c r="F7" s="4">
        <f t="shared" si="3"/>
        <v>8.1938591355047979E-3</v>
      </c>
      <c r="G7" s="4">
        <f t="shared" si="3"/>
        <v>5.5483312399639238E-3</v>
      </c>
      <c r="H7" s="4">
        <f t="shared" si="3"/>
        <v>1.718913896533571E-2</v>
      </c>
      <c r="I7" s="4">
        <f t="shared" si="3"/>
        <v>2.3007607323438779E-2</v>
      </c>
      <c r="J7" s="4">
        <f t="shared" si="3"/>
        <v>2.1884305744250144E-2</v>
      </c>
      <c r="K7" s="4">
        <f t="shared" si="3"/>
        <v>1.140600882282841E-2</v>
      </c>
      <c r="L7" s="4">
        <f t="shared" si="3"/>
        <v>1.7332102351335605E-2</v>
      </c>
    </row>
    <row r="9" spans="1:12" ht="17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</row>
    <row r="10" spans="1:12" ht="17.25">
      <c r="B10" s="1" t="s">
        <v>11</v>
      </c>
      <c r="C10" s="1" t="s">
        <v>12</v>
      </c>
      <c r="D10" s="1" t="s">
        <v>13</v>
      </c>
      <c r="E10" s="1" t="s">
        <v>12</v>
      </c>
      <c r="F10" s="1" t="s">
        <v>14</v>
      </c>
      <c r="G10" s="1" t="s">
        <v>12</v>
      </c>
      <c r="H10" s="1" t="s">
        <v>15</v>
      </c>
      <c r="I10" s="1" t="s">
        <v>12</v>
      </c>
      <c r="J10" s="1" t="s">
        <v>15</v>
      </c>
      <c r="K10" s="1" t="s">
        <v>12</v>
      </c>
      <c r="L10" s="1" t="s">
        <v>16</v>
      </c>
    </row>
    <row r="13" spans="1:12" ht="17.25">
      <c r="A13" s="1" t="s">
        <v>24</v>
      </c>
    </row>
    <row r="15" spans="1:12" ht="17.25">
      <c r="A15" s="1" t="s">
        <v>25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</row>
    <row r="16" spans="1:12" ht="17.25">
      <c r="A16" s="2" t="s">
        <v>18</v>
      </c>
      <c r="B16" s="3">
        <v>9.4909999999999997</v>
      </c>
      <c r="C16" s="3">
        <v>9.6080000000000005</v>
      </c>
      <c r="D16" s="3">
        <v>9.5229999999999997</v>
      </c>
      <c r="E16" s="3">
        <v>9.4730000000000008</v>
      </c>
      <c r="F16" s="3">
        <v>9.3089999999999993</v>
      </c>
      <c r="G16" s="3">
        <v>9.3879999999999999</v>
      </c>
      <c r="H16" s="3">
        <v>9.5340000000000007</v>
      </c>
      <c r="I16" s="3">
        <v>9.5229999999999997</v>
      </c>
      <c r="J16" s="3">
        <v>9.6549999999999994</v>
      </c>
      <c r="K16" s="3">
        <v>9.6869999999999994</v>
      </c>
      <c r="L16" s="3">
        <v>9.7070000000000007</v>
      </c>
    </row>
    <row r="17" spans="1:12" ht="17.25">
      <c r="A17" s="2" t="s">
        <v>19</v>
      </c>
      <c r="B17" s="3">
        <v>6.3E-2</v>
      </c>
      <c r="C17" s="3">
        <v>7.6999999999999999E-2</v>
      </c>
      <c r="D17" s="3">
        <v>3.2000000000000001E-2</v>
      </c>
      <c r="E17" s="3">
        <v>0.09</v>
      </c>
      <c r="F17" s="3">
        <v>0.05</v>
      </c>
      <c r="G17" s="3">
        <v>3.4000000000000002E-2</v>
      </c>
      <c r="H17" s="3">
        <v>8.5000000000000006E-2</v>
      </c>
      <c r="I17" s="3">
        <v>0.14199999999999999</v>
      </c>
      <c r="J17" s="3">
        <v>0.13600000000000001</v>
      </c>
      <c r="K17" s="3">
        <v>7.0999999999999994E-2</v>
      </c>
      <c r="L17" s="3">
        <v>0.108</v>
      </c>
    </row>
    <row r="18" spans="1:12" ht="17.25">
      <c r="A18" s="2" t="s">
        <v>22</v>
      </c>
      <c r="B18" s="4">
        <f t="shared" ref="B18:L18" si="4">B16-$G16</f>
        <v>0.10299999999999976</v>
      </c>
      <c r="C18" s="4">
        <f t="shared" si="4"/>
        <v>0.22000000000000064</v>
      </c>
      <c r="D18" s="4">
        <f t="shared" si="4"/>
        <v>0.13499999999999979</v>
      </c>
      <c r="E18" s="4">
        <f t="shared" si="4"/>
        <v>8.5000000000000853E-2</v>
      </c>
      <c r="F18" s="4">
        <f t="shared" si="4"/>
        <v>-7.9000000000000625E-2</v>
      </c>
      <c r="G18" s="4">
        <f t="shared" si="4"/>
        <v>0</v>
      </c>
      <c r="H18" s="4">
        <f t="shared" si="4"/>
        <v>0.1460000000000008</v>
      </c>
      <c r="I18" s="4">
        <f t="shared" si="4"/>
        <v>0.13499999999999979</v>
      </c>
      <c r="J18" s="4">
        <f t="shared" si="4"/>
        <v>0.26699999999999946</v>
      </c>
      <c r="K18" s="4">
        <f t="shared" si="4"/>
        <v>0.29899999999999949</v>
      </c>
      <c r="L18" s="4">
        <f t="shared" si="4"/>
        <v>0.31900000000000084</v>
      </c>
    </row>
    <row r="19" spans="1:12" ht="17.25">
      <c r="A19" s="2" t="s">
        <v>23</v>
      </c>
      <c r="B19" s="4">
        <f t="shared" ref="B19:L19" si="5">SQRT(B17^2+$G17^2)</f>
        <v>7.1589105316381768E-2</v>
      </c>
      <c r="C19" s="4">
        <f t="shared" si="5"/>
        <v>8.4172442046075865E-2</v>
      </c>
      <c r="D19" s="4">
        <f t="shared" si="5"/>
        <v>4.6690470119715007E-2</v>
      </c>
      <c r="E19" s="4">
        <f t="shared" si="5"/>
        <v>9.6208107766445547E-2</v>
      </c>
      <c r="F19" s="4">
        <f t="shared" si="5"/>
        <v>6.0464865831323898E-2</v>
      </c>
      <c r="G19" s="4">
        <f t="shared" si="5"/>
        <v>4.8083261120685235E-2</v>
      </c>
      <c r="H19" s="4">
        <f t="shared" si="5"/>
        <v>9.154780172128657E-2</v>
      </c>
      <c r="I19" s="4">
        <f t="shared" si="5"/>
        <v>0.14601369798755184</v>
      </c>
      <c r="J19" s="4">
        <f t="shared" si="5"/>
        <v>0.14018559127100047</v>
      </c>
      <c r="K19" s="4">
        <f t="shared" si="5"/>
        <v>7.8721026416072593E-2</v>
      </c>
      <c r="L19" s="4">
        <f t="shared" si="5"/>
        <v>0.11322543883774529</v>
      </c>
    </row>
    <row r="20" spans="1:12" ht="17.25">
      <c r="A20" s="2" t="s">
        <v>20</v>
      </c>
      <c r="B20" s="4">
        <f xml:space="preserve"> SQRT(B16)</f>
        <v>3.0807466627426541</v>
      </c>
      <c r="C20" s="4">
        <f t="shared" ref="C20:L20" si="6" xml:space="preserve"> SQRT(C16)</f>
        <v>3.0996774025694998</v>
      </c>
      <c r="D20" s="4">
        <f t="shared" si="6"/>
        <v>3.0859358386071478</v>
      </c>
      <c r="E20" s="4">
        <f t="shared" si="6"/>
        <v>3.077823906593748</v>
      </c>
      <c r="F20" s="4">
        <f t="shared" si="6"/>
        <v>3.0510653876965663</v>
      </c>
      <c r="G20" s="4">
        <f t="shared" si="6"/>
        <v>3.0639843341636066</v>
      </c>
      <c r="H20" s="4">
        <f t="shared" si="6"/>
        <v>3.0877176036677967</v>
      </c>
      <c r="I20" s="4">
        <f t="shared" si="6"/>
        <v>3.0859358386071478</v>
      </c>
      <c r="J20" s="4">
        <f t="shared" si="6"/>
        <v>3.1072495876578694</v>
      </c>
      <c r="K20" s="4">
        <f t="shared" si="6"/>
        <v>3.112394576527854</v>
      </c>
      <c r="L20" s="4">
        <f t="shared" si="6"/>
        <v>3.1156058800817541</v>
      </c>
    </row>
    <row r="21" spans="1:12" ht="17.25">
      <c r="A21" s="2" t="s">
        <v>21</v>
      </c>
      <c r="B21" s="4">
        <f t="shared" ref="B21:L21" si="7" xml:space="preserve"> 1/2*B17/B16*B20</f>
        <v>1.0224794002359457E-2</v>
      </c>
      <c r="C21" s="4">
        <f t="shared" si="7"/>
        <v>1.242064737707387E-2</v>
      </c>
      <c r="D21" s="4">
        <f t="shared" si="7"/>
        <v>5.1848129179580356E-3</v>
      </c>
      <c r="E21" s="4">
        <f t="shared" si="7"/>
        <v>1.4620719497172875E-2</v>
      </c>
      <c r="F21" s="4">
        <f t="shared" si="7"/>
        <v>8.1938591355047979E-3</v>
      </c>
      <c r="G21" s="4">
        <f t="shared" si="7"/>
        <v>5.5483312399639238E-3</v>
      </c>
      <c r="H21" s="4">
        <f t="shared" si="7"/>
        <v>1.3764212099421162E-2</v>
      </c>
      <c r="I21" s="4">
        <f t="shared" si="7"/>
        <v>2.3007607323438779E-2</v>
      </c>
      <c r="J21" s="4">
        <f t="shared" si="7"/>
        <v>2.1884305744250144E-2</v>
      </c>
      <c r="K21" s="4">
        <f t="shared" si="7"/>
        <v>1.140600882282841E-2</v>
      </c>
      <c r="L21" s="4">
        <f t="shared" si="7"/>
        <v>1.7332102351335605E-2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Dean</dc:creator>
  <cp:lastModifiedBy>Zhang, Shuang</cp:lastModifiedBy>
  <dcterms:created xsi:type="dcterms:W3CDTF">2024-10-23T13:53:28Z</dcterms:created>
  <dcterms:modified xsi:type="dcterms:W3CDTF">2024-11-09T23:10:08Z</dcterms:modified>
</cp:coreProperties>
</file>